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Calc_Data" sheetId="2" r:id="rId6"/>
    <sheet state="visible" name="Summary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<sst xmlns="http://schemas.openxmlformats.org/spreadsheetml/2006/main" count="390" uniqueCount="86">
  <si>
    <t>Timestamp</t>
  </si>
  <si>
    <t>Count</t>
  </si>
  <si>
    <t xml:space="preserve">Do you use AI tools (e.g., Copilot, ChatGPT, Claude) when programming?  </t>
  </si>
  <si>
    <t xml:space="preserve">How would you describe your programming experience?  </t>
  </si>
  <si>
    <t xml:space="preserve">How long have you been programming?  </t>
  </si>
  <si>
    <t xml:space="preserve">Which programming languages do you use regularly?  </t>
  </si>
  <si>
    <t xml:space="preserve">How often do you code?  </t>
  </si>
  <si>
    <t xml:space="preserve">Which development environments/IDEs are you familiar with or have used?   </t>
  </si>
  <si>
    <t xml:space="preserve">Which IDE/editor do you use most often?  </t>
  </si>
  <si>
    <t>Rate how important each feature is to you:  [Syntax highlighting]</t>
  </si>
  <si>
    <t>Rate how important each feature is to you:  [Auto-completion]</t>
  </si>
  <si>
    <t>Rate how important each feature is to you:  [Automatic formatting/indentation]</t>
  </si>
  <si>
    <t>Rate how important each feature is to you:  [Error detection]</t>
  </si>
  <si>
    <t>Rate how important each feature is to you:  [Debugging tools]</t>
  </si>
  <si>
    <t>Rate how important each feature is to you:  [Code execution/testing tools]</t>
  </si>
  <si>
    <t>Rate how important each feature is to you:  [Extensions/plugins]</t>
  </si>
  <si>
    <t>Rate how important each feature is to you:  [Language support]</t>
  </si>
  <si>
    <t xml:space="preserve">Do you prefer an editor that assists you heavily (auto-formats, suggests code) or one with minimal assistance?  </t>
  </si>
  <si>
    <t>Feature</t>
  </si>
  <si>
    <t xml:space="preserve">If yes, what do you use AI for?  </t>
  </si>
  <si>
    <t>Average Rating</t>
  </si>
  <si>
    <t xml:space="preserve">How much do you rely on AI-generated code?  </t>
  </si>
  <si>
    <t xml:space="preserve">How comfortable are you writing code without AI assistance?  </t>
  </si>
  <si>
    <t>Beginner</t>
  </si>
  <si>
    <t>Less than 6 months</t>
  </si>
  <si>
    <t>No</t>
  </si>
  <si>
    <t>Yes</t>
  </si>
  <si>
    <t>Grand Total</t>
  </si>
  <si>
    <t>IntelliJ IDEA</t>
  </si>
  <si>
    <t>Python</t>
  </si>
  <si>
    <t>Syntax highlighting</t>
  </si>
  <si>
    <t>Rarely</t>
  </si>
  <si>
    <t>Online IDE (e.g., Replit, CodePen, Google Colab)</t>
  </si>
  <si>
    <t>1 - Somewhat important</t>
  </si>
  <si>
    <t>Advanced</t>
  </si>
  <si>
    <t>Auto-completion</t>
  </si>
  <si>
    <t>VS Code</t>
  </si>
  <si>
    <t>Automatic formatting/indentation</t>
  </si>
  <si>
    <t>Generating code, Explaning code, Finding/fixing errors, Suggesting improvements, Learning concepts, Completing code</t>
  </si>
  <si>
    <t>Intermediate</t>
  </si>
  <si>
    <t>Error detection</t>
  </si>
  <si>
    <t>Very comfortable</t>
  </si>
  <si>
    <t>Debugging tools</t>
  </si>
  <si>
    <t>Code execution/testing tools</t>
  </si>
  <si>
    <t>Extensions/plugins</t>
  </si>
  <si>
    <t>VS Code, Online IDE (e.g., Replit, CodePen, Google Colab)</t>
  </si>
  <si>
    <t>5 - Very important</t>
  </si>
  <si>
    <t>Language support</t>
  </si>
  <si>
    <t>6 months - 1 year</t>
  </si>
  <si>
    <t>Python, Java, JavaScript, C++</t>
  </si>
  <si>
    <t>A few times a month</t>
  </si>
  <si>
    <t>VS Code, PyCharm, Jupyter Notebook, Online IDE (e.g., Replit, CodePen, Google Colab)</t>
  </si>
  <si>
    <t>Somewhat comfortable</t>
  </si>
  <si>
    <t>3+ years</t>
  </si>
  <si>
    <t>Python, Java, JavaScript, C++, C, C#</t>
  </si>
  <si>
    <t>A few times a week</t>
  </si>
  <si>
    <t>VS Code, PyCharm, NetBeans, Jupyter Notebook, Eclipse, IntelliJ IDEA, Sublime Text, Atom, Online IDE (e.g., Replit, CodePen, Google Colab)</t>
  </si>
  <si>
    <t>Explaning code, Finding/fixing errors, Suggesting improvements, Learning concepts</t>
  </si>
  <si>
    <t>1-3 years</t>
  </si>
  <si>
    <t>JavaScript, C++</t>
  </si>
  <si>
    <t>4 - Important</t>
  </si>
  <si>
    <t>3 - Somewhat important</t>
  </si>
  <si>
    <t>Not comfortable</t>
  </si>
  <si>
    <t>Python, Java, JavaScript, C++, C, HTML/CSS</t>
  </si>
  <si>
    <t>Daily</t>
  </si>
  <si>
    <t>VS Code, NetBeans, Jupyter Notebook, Online IDE (e.g., Replit, CodePen, Google Colab)</t>
  </si>
  <si>
    <t>Explaning code, Learning concepts</t>
  </si>
  <si>
    <t>Python, Java, JavaScript, Rust</t>
  </si>
  <si>
    <t>Suggesting improvements</t>
  </si>
  <si>
    <t>Python, Java, JavaScript, C++, C, TypeScript, CSS, C#, Rust</t>
  </si>
  <si>
    <t>Python, Java, JavaScript, C++, CSS, TypeScript</t>
  </si>
  <si>
    <t>VS Code, PyCharm, Online IDE (e.g., Replit, CodePen, Google Colab)</t>
  </si>
  <si>
    <t>Finding/fixing errors, Suggesting improvements</t>
  </si>
  <si>
    <t>PyCharm, Jupyter Notebook, Online IDE (e.g., Replit, CodePen, Google Colab)</t>
  </si>
  <si>
    <t>Python, Java, JavaScript, C++, TypeScript, CSS</t>
  </si>
  <si>
    <t>Suggesting improvements, Learning concepts</t>
  </si>
  <si>
    <t>Python, Java, JavaScript, C++, C, C#, TypeScript, CSS, Rust</t>
  </si>
  <si>
    <t>Generating code, Explaning code, Finding/fixing errors, Suggesting improvements</t>
  </si>
  <si>
    <t>Python, Java, C++</t>
  </si>
  <si>
    <t>VS Code, Jupyter Notebook, Eclipse, Online IDE (e.g., Replit, CodePen, Google Colab)</t>
  </si>
  <si>
    <t>Developer Survey Insights</t>
  </si>
  <si>
    <t>Python, JavaScript, C++, C, TypeScript, CSS</t>
  </si>
  <si>
    <t>Most Popular IDEs</t>
  </si>
  <si>
    <t>AI Usage by Experience Level</t>
  </si>
  <si>
    <t>Feature Importance Ratings</t>
  </si>
  <si>
    <t>Programming Languages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</si>
</sst>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1C1B1F"/>
      <name val="Roboto"/>
    </font>
    <font>
      <b/>
      <sz val="14.0"/>
      <color rgb="FF5F5691"/>
      <name val="Roboto"/>
    </font>
    <font>
      <b/>
      <sz val="12.0"/>
      <color rgb="FF5F5691"/>
      <name val="Roboto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5" numFmtId="0" xfId="0" applyFont="1"/>
    <xf borderId="0" fillId="0" fontId="2" numFmtId="0" xfId="0" applyFon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/>
      <fill>
        <patternFill patternType="solid">
          <fgColor rgb="FF5F5691"/>
          <bgColor rgb="FF5F5691"/>
        </patternFill>
      </fill>
      <border/>
    </dxf>
    <dxf>
      <font/>
      <fill>
        <patternFill patternType="solid">
          <fgColor rgb="FFFCF8FF"/>
          <bgColor rgb="FFFCF8FF"/>
        </patternFill>
      </fill>
      <border/>
    </dxf>
  </dxfs>
  <tableStyles count="6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  <tableStyle count="3" pivot="0" name="Summary-style">
      <tableStyleElement dxfId="11" type="headerRow"/>
      <tableStyleElement dxfId="12" type="firstRowStripe"/>
      <tableStyleElement dxfId="2" type="secondRowStripe"/>
    </tableStyle>
    <tableStyle count="3" pivot="0" name="Summary-style 2">
      <tableStyleElement dxfId="11" type="headerRow"/>
      <tableStyleElement dxfId="12" type="firstRowStripe"/>
      <tableStyleElement dxfId="2" type="secondRowStripe"/>
    </tableStyle>
    <tableStyle count="3" pivot="0" name="Summary-style 3">
      <tableStyleElement dxfId="11" type="headerRow"/>
      <tableStyleElement dxfId="12" type="firstRowStripe"/>
      <tableStyleElement dxfId="2" type="secondRowStripe"/>
    </tableStyle>
    <tableStyle count="3" pivot="0" name="Summary-style 4">
      <tableStyleElement dxfId="11" type="headerRow"/>
      <tableStyleElement dxfId="1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Most Popular IDEs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Summary!$C$5</c:f>
            </c:strRef>
          </c:tx>
          <c:spPr>
            <a:solidFill>
              <a:srgbClr val="5F5691"/>
            </a:solidFill>
            <a:ln cmpd="sng">
              <a:noFill/>
            </a:ln>
          </c:spPr>
          <c:invertIfNegative val="0"/>
          <c:cat>
            <c:strRef>
              <c:f>Summary!$B$6:$B$10</c:f>
            </c:strRef>
          </c:cat>
          <c:val>
            <c:numRef>
              <c:f>Summary!$C$6:$C$10</c:f>
              <c:numCache/>
            </c:numRef>
          </c:val>
        </c:ser>
        <c:axId val="1646317750"/>
        <c:axId val="410612973"/>
      </c:barChart>
      <c:catAx>
        <c:axId val="16463177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612973"/>
      </c:catAx>
      <c:valAx>
        <c:axId val="4106129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317750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AI Usage by Experience Level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Summary!$F$5</c:f>
            </c:strRef>
          </c:tx>
          <c:spPr>
            <a:solidFill>
              <a:srgbClr val="5F5691"/>
            </a:solidFill>
            <a:ln cmpd="sng">
              <a:noFill/>
            </a:ln>
          </c:spPr>
          <c:invertIfNegative val="0"/>
          <c:cat>
            <c:strRef>
              <c:f>Summary!$E$6:$E$8</c:f>
            </c:strRef>
          </c:cat>
          <c:val>
            <c:numRef>
              <c:f>Summary!$F$6:$F$8</c:f>
              <c:numCache/>
            </c:numRef>
          </c:val>
        </c:ser>
        <c:ser>
          <c:idx val="1"/>
          <c:order val="1"/>
          <c:tx>
            <c:strRef>
              <c:f>Summary!$G$5</c:f>
            </c:strRef>
          </c:tx>
          <c:spPr>
            <a:solidFill>
              <a:srgbClr val="E4DEFF"/>
            </a:solidFill>
            <a:ln cmpd="sng">
              <a:noFill/>
            </a:ln>
          </c:spPr>
          <c:invertIfNegative val="0"/>
          <c:cat>
            <c:strRef>
              <c:f>Summary!$E$6:$E$8</c:f>
            </c:strRef>
          </c:cat>
          <c:val>
            <c:numRef>
              <c:f>Summary!$G$6:$G$8</c:f>
              <c:numCache/>
            </c:numRef>
          </c:val>
        </c:ser>
        <c:overlap val="100"/>
        <c:axId val="1176966144"/>
        <c:axId val="1356882911"/>
      </c:barChart>
      <c:catAx>
        <c:axId val="117696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Experience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882911"/>
      </c:catAx>
      <c:valAx>
        <c:axId val="1356882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696614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Feature Importance Ratings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Summary!$C$20</c:f>
            </c:strRef>
          </c:tx>
          <c:spPr>
            <a:solidFill>
              <a:srgbClr val="5F5691"/>
            </a:solidFill>
            <a:ln cmpd="sng">
              <a:noFill/>
            </a:ln>
          </c:spPr>
          <c:invertIfNegative val="0"/>
          <c:cat>
            <c:strRef>
              <c:f>Summary!$B$21:$B$28</c:f>
            </c:strRef>
          </c:cat>
          <c:val>
            <c:numRef>
              <c:f>Summary!$C$21:$C$28</c:f>
              <c:numCache/>
            </c:numRef>
          </c:val>
        </c:ser>
        <c:axId val="198041076"/>
        <c:axId val="1258941397"/>
      </c:barChart>
      <c:catAx>
        <c:axId val="1980410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Feature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941397"/>
      </c:catAx>
      <c:valAx>
        <c:axId val="12589413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41076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Programming Languages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Summary!$E$20:$E$30</c:f>
            </c:strRef>
          </c:cat>
          <c:val>
            <c:numRef>
              <c:f>Summary!$F$20:$F$30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3810000" cy="2381250"/>
    <xdr:graphicFrame>
      <xdr:nvGraphicFramePr>
        <xdr:cNvPr id="1" name="Chart 1" title="Most Popular ID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10</xdr:row>
      <xdr:rowOff>0</xdr:rowOff>
    </xdr:from>
    <xdr:ext cx="3810000" cy="2381250"/>
    <xdr:graphicFrame>
      <xdr:nvGraphicFramePr>
        <xdr:cNvPr id="2" name="Chart 2" title="AI Usage by Experience Leve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25</xdr:row>
      <xdr:rowOff>0</xdr:rowOff>
    </xdr:from>
    <xdr:ext cx="3810000" cy="2381250"/>
    <xdr:graphicFrame>
      <xdr:nvGraphicFramePr>
        <xdr:cNvPr id="3" name="Chart 3" title="Feature Importance Rating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0</xdr:colOff>
      <xdr:row>25</xdr:row>
      <xdr:rowOff>0</xdr:rowOff>
    </xdr:from>
    <xdr:ext cx="3810000" cy="2381250"/>
    <xdr:graphicFrame>
      <xdr:nvGraphicFramePr>
        <xdr:cNvPr id="4" name="Chart 4" title="Programming Languag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21" sheet="Form Responses 1"/>
  </cacheSource>
  <cacheFields>
    <cacheField name="Timestamp" numFmtId="164">
      <sharedItems containsSemiMixedTypes="0" containsDate="1" containsString="0">
        <d v="2026-09-25T14:07:33Z"/>
        <d v="2026-09-25T14:09:34Z"/>
        <d v="2026-09-25T14:11:41Z"/>
        <d v="2026-09-25T14:13:44Z"/>
        <d v="2026-09-25T14:41:29Z"/>
        <d v="2026-09-25T14:45:34Z"/>
        <d v="2026-09-25T14:52:42Z"/>
        <d v="2026-09-25T17:54:20Z"/>
        <d v="2026-09-25T17:57:30Z"/>
        <d v="2026-09-25T18:00:07Z"/>
        <d v="2026-09-25T18:01:59Z"/>
        <d v="2026-09-25T18:04:11Z"/>
        <d v="2026-09-25T18:07:35Z"/>
        <d v="2026-09-25T18:14:00Z"/>
        <d v="2026-09-25T18:19:35Z"/>
        <d v="2026-09-25T19:46:46Z"/>
        <d v="2026-09-25T19:56:19Z"/>
        <d v="2026-09-25T19:58:54Z"/>
        <d v="2026-09-25T20:45:15Z"/>
        <d v="2026-09-25T21:49:30Z"/>
      </sharedItems>
    </cacheField>
    <cacheField name="How would you describe your programming experience?  " numFmtId="0">
      <sharedItems>
        <s v="Beginner"/>
        <s v="Advanced"/>
        <s v="Intermediate"/>
      </sharedItems>
    </cacheField>
    <cacheField name="How long have you been programming?  " numFmtId="0">
      <sharedItems>
        <s v="Less than 6 months"/>
        <s v="6 months - 1 year"/>
        <s v="3+ years"/>
        <s v="1-3 years"/>
      </sharedItems>
    </cacheField>
    <cacheField name="Which programming languages do you use regularly?  " numFmtId="0">
      <sharedItems>
        <s v="Python"/>
        <s v="Python, Java, JavaScript, C++"/>
        <s v="Python, Java, JavaScript, C++, C, C#"/>
        <s v="JavaScript, C++"/>
        <s v="Python, Java, JavaScript, C++, C, HTML/CSS"/>
        <s v="Python, Java, JavaScript, Rust"/>
        <s v="Python, Java, JavaScript, C++, C, TypeScript, CSS, C#, Rust"/>
        <s v="Python, Java, JavaScript, C++, CSS, TypeScript"/>
        <s v="Python, Java, JavaScript, C++, TypeScript, CSS"/>
        <s v="Python, Java, JavaScript, C++, C, C#, TypeScript, CSS, Rust"/>
        <s v="Python, Java, C++"/>
        <s v="Python, JavaScript, C++, C, TypeScript, CSS"/>
      </sharedItems>
    </cacheField>
    <cacheField name="How often do you code?  " numFmtId="0">
      <sharedItems>
        <s v="Rarely"/>
        <s v="A few times a month"/>
        <s v="A few times a week"/>
        <s v="Daily"/>
      </sharedItems>
    </cacheField>
    <cacheField name="Which development environments/IDEs are you familiar with or have used?   " numFmtId="0">
      <sharedItems>
        <s v="Online IDE (e.g., Replit, CodePen, Google Colab)"/>
        <s v="VS Code, Online IDE (e.g., Replit, CodePen, Google Colab)"/>
        <s v="VS Code, PyCharm, Jupyter Notebook, Online IDE (e.g., Replit, CodePen, Google Colab)"/>
        <s v="VS Code, PyCharm, NetBeans, Jupyter Notebook, Eclipse, IntelliJ IDEA, Sublime Text, Atom, Online IDE (e.g., Replit, CodePen, Google Colab)"/>
        <s v="VS Code, NetBeans, Jupyter Notebook, Online IDE (e.g., Replit, CodePen, Google Colab)"/>
        <s v="VS Code, PyCharm, Online IDE (e.g., Replit, CodePen, Google Colab)"/>
        <s v="PyCharm, Jupyter Notebook, Online IDE (e.g., Replit, CodePen, Google Colab)"/>
        <s v="VS Code"/>
        <s v="VS Code, Jupyter Notebook, Eclipse, Online IDE (e.g., Replit, CodePen, Google Colab)"/>
      </sharedItems>
    </cacheField>
    <cacheField name="Which IDE/editor do you use most often?  " numFmtId="0">
      <sharedItems>
        <s v="Online IDE (e.g., Replit, CodePen, Google Colab)"/>
        <s v="VS Code"/>
        <s v="IntelliJ IDEA"/>
      </sharedItems>
    </cacheField>
    <cacheField name="Rate how important each feature is to you:  [Syntax highlighting]" numFmtId="0">
      <sharedItems>
        <s v="1 - Somewhat important"/>
        <s v="5 - Very important"/>
        <s v="3 - Somewhat important"/>
        <s v="4 - Important"/>
      </sharedItems>
    </cacheField>
    <cacheField name="Rate how important each feature is to you:  [Auto-completion]" numFmtId="0">
      <sharedItems>
        <s v="1 - Somewhat important"/>
        <s v="5 - Very important"/>
        <s v="4 - Important"/>
        <s v="3 - Somewhat important"/>
      </sharedItems>
    </cacheField>
    <cacheField name="Rate how important each feature is to you:  [Automatic formatting/indentation]" numFmtId="0">
      <sharedItems>
        <s v="1 - Somewhat important"/>
        <s v="5 - Very important"/>
        <s v="4 - Important"/>
        <s v="3 - Somewhat important"/>
      </sharedItems>
    </cacheField>
    <cacheField name="Rate how important each feature is to you:  [Error detection]" numFmtId="0">
      <sharedItems>
        <s v="1 - Somewhat important"/>
        <s v="5 - Very important"/>
        <s v="3 - Somewhat important"/>
        <s v="4 - Important"/>
      </sharedItems>
    </cacheField>
    <cacheField name="Rate how important each feature is to you:  [Debugging tools]" numFmtId="0">
      <sharedItems>
        <s v="1 - Somewhat important"/>
        <s v="5 - Very important"/>
        <s v="3 - Somewhat important"/>
        <s v="4 - Important"/>
      </sharedItems>
    </cacheField>
    <cacheField name="Rate how important each feature is to you:  [Code execution/testing tools]" numFmtId="0">
      <sharedItems>
        <s v="1 - Somewhat important"/>
        <s v="5 - Very important"/>
        <s v="4 - Important"/>
        <s v="3 - Somewhat important"/>
      </sharedItems>
    </cacheField>
    <cacheField name="Rate how important each feature is to you:  [Extensions/plugins]" numFmtId="0">
      <sharedItems>
        <s v="1 - Somewhat important"/>
        <s v="5 - Very important"/>
        <s v="3 - Somewhat important"/>
        <s v="4 - Important"/>
      </sharedItems>
    </cacheField>
    <cacheField name="Rate how important each feature is to you:  [Language support]" numFmtId="0">
      <sharedItems>
        <s v="1 - Somewhat important"/>
        <s v="5 - Very important"/>
        <s v="4 - Important"/>
        <s v="3 - Somewhat important"/>
      </sharedItems>
    </cacheField>
    <cacheField name="Do you prefer an editor that assists you heavily (auto-formats, suggests code) or one with minimal assistance?  " numFmtId="0">
      <sharedItems containsSemiMixedTypes="0" containsString="0" containsNumber="1" containsInteger="1">
        <n v="5.0"/>
        <n v="3.0"/>
        <n v="4.0"/>
        <n v="2.0"/>
      </sharedItems>
    </cacheField>
    <cacheField name="Do you use AI tools (e.g., Copilot, ChatGPT, Claude) when programming?  " numFmtId="0">
      <sharedItems>
        <s v="Yes"/>
        <s v="No"/>
      </sharedItems>
    </cacheField>
    <cacheField name="If yes, what do you use AI for?  " numFmtId="0">
      <sharedItems containsBlank="1">
        <s v="Generating code, Explaning code, Finding/fixing errors, Suggesting improvements, Learning concepts, Completing code"/>
        <s v="Explaning code, Finding/fixing errors, Suggesting improvements, Learning concepts"/>
        <m/>
        <s v="Explaning code, Learning concepts"/>
        <s v="Suggesting improvements"/>
        <s v="Finding/fixing errors, Suggesting improvements"/>
        <s v="Suggesting improvements, Learning concepts"/>
        <s v="Generating code, Explaning code, Finding/fixing errors, Suggesting improvements"/>
      </sharedItems>
    </cacheField>
    <cacheField name="How much do you rely on AI-generated code?  " numFmtId="0">
      <sharedItems containsSemiMixedTypes="0" containsString="0" containsNumber="1" containsInteger="1">
        <n v="5.0"/>
        <n v="4.0"/>
        <n v="1.0"/>
        <n v="3.0"/>
        <n v="2.0"/>
      </sharedItems>
    </cacheField>
    <cacheField name="How comfortable are you writing code without AI assistance?  " numFmtId="0">
      <sharedItems>
        <s v="Very comfortable"/>
        <s v="Somewhat comfortable"/>
        <s v="Not comfortabl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lc_Data" cacheId="0" dataCaption="" compact="0" compactData="0">
  <location ref="A1:D6" firstHeaderRow="0" firstDataRow="1" firstDataCol="1"/>
  <pivotFields>
    <pivotField name="Timestamp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How would you describe your programming experience?  " axis="axisRow" compact="0" outline="0" multipleItemSelectionAllowed="1" showAll="0" sortType="ascending">
      <items>
        <item x="1"/>
        <item x="0"/>
        <item x="2"/>
        <item t="default"/>
      </items>
    </pivotField>
    <pivotField name="How long have you been programming?  " compact="0" outline="0" multipleItemSelectionAllowed="1" showAll="0">
      <items>
        <item x="0"/>
        <item x="1"/>
        <item x="2"/>
        <item x="3"/>
        <item t="default"/>
      </items>
    </pivotField>
    <pivotField name="Which programming languages do you use regularly?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w often do you code?  " compact="0" outline="0" multipleItemSelectionAllowed="1" showAll="0">
      <items>
        <item x="0"/>
        <item x="1"/>
        <item x="2"/>
        <item x="3"/>
        <item t="default"/>
      </items>
    </pivotField>
    <pivotField name="Which development environments/IDEs are you familiar with or have used? 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hich IDE/editor do you use most often?  " compact="0" outline="0" multipleItemSelectionAllowed="1" showAll="0">
      <items>
        <item x="0"/>
        <item x="1"/>
        <item x="2"/>
        <item t="default"/>
      </items>
    </pivotField>
    <pivotField name="Rate how important each feature is to you:  [Syntax highlighting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Auto-completion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Automatic formatting/indentation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Error detection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Debugging tools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Code execution/testing tools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Extensions/plugins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Language support]" compact="0" outline="0" multipleItemSelectionAllowed="1" showAll="0">
      <items>
        <item x="0"/>
        <item x="1"/>
        <item x="2"/>
        <item x="3"/>
        <item t="default"/>
      </items>
    </pivotField>
    <pivotField name="Do you prefer an editor that assists you heavily (auto-formats, suggests code) or one with minimal assistance?  " compact="0" outline="0" multipleItemSelectionAllowed="1" showAll="0">
      <items>
        <item x="0"/>
        <item x="1"/>
        <item x="2"/>
        <item x="3"/>
        <item t="default"/>
      </items>
    </pivotField>
    <pivotField name="Do you use AI tools (e.g., Copilot, ChatGPT, Claude) when programming?  " axis="axisCol" compact="0" outline="0" multipleItemSelectionAllowed="1" showAll="0" sortType="ascending">
      <items>
        <item x="1"/>
        <item x="0"/>
        <item t="default"/>
      </items>
    </pivotField>
    <pivotField name="If yes, what do you use AI for? 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ow much do you rely on AI-generated code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w comfortable are you writing code without AI assistance?  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16"/>
  </colFields>
  <dataFields>
    <dataField name="Count" fld="0" subtotal="count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Calc_Data 2" cacheId="0" dataCaption="" compact="0" compactData="0">
  <location ref="E1:F5" firstHeaderRow="0" firstDataRow="1" firstDataCol="0"/>
  <pivotFields>
    <pivotField name="Timestamp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How would you describe your programming experience?  " compact="0" outline="0" multipleItemSelectionAllowed="1" showAll="0">
      <items>
        <item x="0"/>
        <item x="1"/>
        <item x="2"/>
        <item t="default"/>
      </items>
    </pivotField>
    <pivotField name="How long have you been programming?  " compact="0" outline="0" multipleItemSelectionAllowed="1" showAll="0">
      <items>
        <item x="0"/>
        <item x="1"/>
        <item x="2"/>
        <item x="3"/>
        <item t="default"/>
      </items>
    </pivotField>
    <pivotField name="Which programming languages do you use regularly?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ow often do you code?  " compact="0" outline="0" multipleItemSelectionAllowed="1" showAll="0">
      <items>
        <item x="0"/>
        <item x="1"/>
        <item x="2"/>
        <item x="3"/>
        <item t="default"/>
      </items>
    </pivotField>
    <pivotField name="Which development environments/IDEs are you familiar with or have used?  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hich IDE/editor do you use most often?  " axis="axisRow" compact="0" outline="0" multipleItemSelectionAllowed="1" showAll="0" sortType="ascending">
      <items>
        <item x="2"/>
        <item x="0"/>
        <item x="1"/>
        <item t="default"/>
      </items>
    </pivotField>
    <pivotField name="Rate how important each feature is to you:  [Syntax highlighting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Auto-completion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Automatic formatting/indentation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Error detection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Debugging tools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Code execution/testing tools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Extensions/plugins]" compact="0" outline="0" multipleItemSelectionAllowed="1" showAll="0">
      <items>
        <item x="0"/>
        <item x="1"/>
        <item x="2"/>
        <item x="3"/>
        <item t="default"/>
      </items>
    </pivotField>
    <pivotField name="Rate how important each feature is to you:  [Language support]" compact="0" outline="0" multipleItemSelectionAllowed="1" showAll="0">
      <items>
        <item x="0"/>
        <item x="1"/>
        <item x="2"/>
        <item x="3"/>
        <item t="default"/>
      </items>
    </pivotField>
    <pivotField name="Do you prefer an editor that assists you heavily (auto-formats, suggests code) or one with minimal assistance?  " compact="0" outline="0" multipleItemSelectionAllowed="1" showAll="0">
      <items>
        <item x="0"/>
        <item x="1"/>
        <item x="2"/>
        <item x="3"/>
        <item t="default"/>
      </items>
    </pivotField>
    <pivotField name="Do you use AI tools (e.g., Copilot, ChatGPT, Claude) when programming?  " compact="0" outline="0" multipleItemSelectionAllowed="1" showAll="0">
      <items>
        <item x="0"/>
        <item x="1"/>
        <item t="default"/>
      </items>
    </pivotField>
    <pivotField name="If yes, what do you use AI for? 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ow much do you rely on AI-generated code? 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w comfortable are you writing code without AI assistance?  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dataFields>
    <dataField name="Count" fld="0" subtotal="count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T21" displayName="Form_Responses" name="Form_Responses" id="1">
  <tableColumns count="20">
    <tableColumn name="Timestamp" id="1"/>
    <tableColumn name="How would you describe your programming experience?  " id="2"/>
    <tableColumn name="How long have you been programming?  " id="3"/>
    <tableColumn name="Which programming languages do you use regularly?  " id="4"/>
    <tableColumn name="How often do you code?  " id="5"/>
    <tableColumn name="Which development environments/IDEs are you familiar with or have used?   " id="6"/>
    <tableColumn name="Which IDE/editor do you use most often?  " id="7"/>
    <tableColumn name="Rate how important each feature is to you:  [Syntax highlighting]" id="8"/>
    <tableColumn name="Rate how important each feature is to you:  [Auto-completion]" id="9"/>
    <tableColumn name="Rate how important each feature is to you:  [Automatic formatting/indentation]" id="10"/>
    <tableColumn name="Rate how important each feature is to you:  [Error detection]" id="11"/>
    <tableColumn name="Rate how important each feature is to you:  [Debugging tools]" id="12"/>
    <tableColumn name="Rate how important each feature is to you:  [Code execution/testing tools]" id="13"/>
    <tableColumn name="Rate how important each feature is to you:  [Extensions/plugins]" id="14"/>
    <tableColumn name="Rate how important each feature is to you:  [Language support]" id="15"/>
    <tableColumn name="Do you prefer an editor that assists you heavily (auto-formats, suggests code) or one with minimal assistance?  " id="16"/>
    <tableColumn name="Do you use AI tools (e.g., Copilot, ChatGPT, Claude) when programming?  " id="17"/>
    <tableColumn name="If yes, what do you use AI for?  " id="18"/>
    <tableColumn name="How much do you rely on AI-generated code?  " id="19"/>
    <tableColumn name="How comfortable are you writing code without AI assistance?  " id="20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B5:C10" displayName="Table_1" name="Table_1" id="2">
  <tableColumns count="2">
    <tableColumn name="Which IDE/editor do you use most often?  " id="1"/>
    <tableColumn name="Count" id="2"/>
  </tableColumns>
  <tableStyleInfo name="Summary-style" showColumnStripes="0" showFirstColumn="1" showLastColumn="1" showRowStripes="1"/>
</table>
</file>

<file path=xl/tables/table3.xml><?xml version="1.0" encoding="utf-8"?>
<table xmlns="http://schemas.openxmlformats.org/spreadsheetml/2006/main" ref="E5:G8" displayName="Table_2" name="Table_2" id="3">
  <tableColumns count="3">
    <tableColumn name="Count How would you describe your programming experience?  " id="1"/>
    <tableColumn name="Do you use AI tools (e.g., Copilot, ChatGPT, Claude) when programming?   No" id="2"/>
    <tableColumn name=" Yes" id="3"/>
  </tableColumns>
  <tableStyleInfo name="Summary-style 2" showColumnStripes="0" showFirstColumn="1" showLastColumn="1" showRowStripes="1"/>
</table>
</file>

<file path=xl/tables/table4.xml><?xml version="1.0" encoding="utf-8"?>
<table xmlns="http://schemas.openxmlformats.org/spreadsheetml/2006/main" ref="B20:C29" displayName="Table_3" name="Table_3" id="4">
  <tableColumns count="2">
    <tableColumn name="Feature" id="1"/>
    <tableColumn name="Average Rating" id="2"/>
  </tableColumns>
  <tableStyleInfo name="Summary-style 3" showColumnStripes="0" showFirstColumn="1" showLastColumn="1" showRowStripes="1"/>
</table>
</file>

<file path=xl/tables/table5.xml><?xml version="1.0" encoding="utf-8"?>
<table xmlns="http://schemas.openxmlformats.org/spreadsheetml/2006/main" ref="E20:F30" displayName="Table_4" name="Table_4" id="5">
  <tableColumns count="2">
    <tableColumn name="Language" id="1"/>
    <tableColumn name="Count" id="2"/>
  </tableColumns>
  <tableStyleInfo name="Summary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4.75"/>
    <col customWidth="1" min="4" max="4" width="37.63"/>
    <col customWidth="1" min="5" max="5" width="23.63"/>
    <col customWidth="1" min="6" max="6" width="37.63"/>
    <col customWidth="1" min="7" max="7" width="35.63"/>
    <col customWidth="1" min="8" max="17" width="37.63"/>
    <col customWidth="1" min="18" max="18" width="27.75"/>
    <col customWidth="1" min="19" max="20" width="37.63"/>
    <col customWidth="1" min="21" max="26" width="18.88"/>
  </cols>
  <sheetData>
    <row r="1" ht="22.5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2</v>
      </c>
      <c r="R1" s="2" t="s">
        <v>19</v>
      </c>
      <c r="S1" s="2" t="s">
        <v>21</v>
      </c>
      <c r="T1" s="2" t="s">
        <v>22</v>
      </c>
      <c r="U1" s="4"/>
      <c r="V1" s="4"/>
      <c r="W1" s="4"/>
      <c r="X1" s="4"/>
      <c r="Y1" s="4"/>
      <c r="Z1" s="4"/>
    </row>
    <row r="2" ht="22.5" customHeight="1">
      <c r="A2" s="5">
        <v>46290.588579884265</v>
      </c>
      <c r="B2" s="6" t="s">
        <v>23</v>
      </c>
      <c r="C2" s="7" t="s">
        <v>24</v>
      </c>
      <c r="D2" s="7" t="s">
        <v>29</v>
      </c>
      <c r="E2" s="7" t="s">
        <v>31</v>
      </c>
      <c r="F2" s="7" t="s">
        <v>32</v>
      </c>
      <c r="G2" s="7" t="s">
        <v>32</v>
      </c>
      <c r="H2" s="7" t="s">
        <v>33</v>
      </c>
      <c r="I2" s="7" t="s">
        <v>33</v>
      </c>
      <c r="J2" s="7" t="s">
        <v>33</v>
      </c>
      <c r="K2" s="7" t="s">
        <v>33</v>
      </c>
      <c r="L2" s="7" t="s">
        <v>33</v>
      </c>
      <c r="M2" s="7" t="s">
        <v>33</v>
      </c>
      <c r="N2" s="7" t="s">
        <v>33</v>
      </c>
      <c r="O2" s="7" t="s">
        <v>33</v>
      </c>
      <c r="P2" s="6">
        <v>5.0</v>
      </c>
      <c r="Q2" s="7" t="s">
        <v>26</v>
      </c>
      <c r="R2" s="7" t="s">
        <v>38</v>
      </c>
      <c r="S2" s="6">
        <v>5.0</v>
      </c>
      <c r="T2" s="7" t="s">
        <v>41</v>
      </c>
      <c r="U2" s="4"/>
      <c r="V2" s="4"/>
      <c r="W2" s="4"/>
      <c r="X2" s="4"/>
      <c r="Y2" s="4"/>
      <c r="Z2" s="4"/>
    </row>
    <row r="3" ht="22.5" customHeight="1">
      <c r="A3" s="8">
        <v>46290.58998765046</v>
      </c>
      <c r="B3" s="9" t="s">
        <v>23</v>
      </c>
      <c r="C3" s="10" t="s">
        <v>24</v>
      </c>
      <c r="D3" s="10" t="s">
        <v>29</v>
      </c>
      <c r="E3" s="10" t="s">
        <v>31</v>
      </c>
      <c r="F3" s="10" t="s">
        <v>45</v>
      </c>
      <c r="G3" s="10" t="s">
        <v>36</v>
      </c>
      <c r="H3" s="10" t="s">
        <v>46</v>
      </c>
      <c r="I3" s="10" t="s">
        <v>46</v>
      </c>
      <c r="J3" s="10" t="s">
        <v>46</v>
      </c>
      <c r="K3" s="10" t="s">
        <v>46</v>
      </c>
      <c r="L3" s="10" t="s">
        <v>46</v>
      </c>
      <c r="M3" s="10" t="s">
        <v>46</v>
      </c>
      <c r="N3" s="10" t="s">
        <v>46</v>
      </c>
      <c r="O3" s="10" t="s">
        <v>46</v>
      </c>
      <c r="P3" s="9">
        <v>5.0</v>
      </c>
      <c r="Q3" s="10" t="s">
        <v>26</v>
      </c>
      <c r="R3" s="10" t="s">
        <v>38</v>
      </c>
      <c r="S3" s="9">
        <v>5.0</v>
      </c>
      <c r="T3" s="10" t="s">
        <v>41</v>
      </c>
      <c r="U3" s="4"/>
      <c r="V3" s="4"/>
      <c r="W3" s="4"/>
      <c r="X3" s="4"/>
      <c r="Y3" s="4"/>
      <c r="Z3" s="4"/>
    </row>
    <row r="4" ht="22.5" customHeight="1">
      <c r="A4" s="8">
        <v>46290.59145723379</v>
      </c>
      <c r="B4" s="9" t="s">
        <v>23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36</v>
      </c>
      <c r="H4" s="10" t="s">
        <v>46</v>
      </c>
      <c r="I4" s="10" t="s">
        <v>46</v>
      </c>
      <c r="J4" s="10" t="s">
        <v>46</v>
      </c>
      <c r="K4" s="10" t="s">
        <v>46</v>
      </c>
      <c r="L4" s="10" t="s">
        <v>46</v>
      </c>
      <c r="M4" s="10" t="s">
        <v>46</v>
      </c>
      <c r="N4" s="10" t="s">
        <v>46</v>
      </c>
      <c r="O4" s="10" t="s">
        <v>46</v>
      </c>
      <c r="P4" s="9">
        <v>5.0</v>
      </c>
      <c r="Q4" s="10" t="s">
        <v>26</v>
      </c>
      <c r="R4" s="10" t="s">
        <v>38</v>
      </c>
      <c r="S4" s="9">
        <v>4.0</v>
      </c>
      <c r="T4" s="10" t="s">
        <v>52</v>
      </c>
      <c r="U4" s="4"/>
      <c r="V4" s="4"/>
      <c r="W4" s="4"/>
      <c r="X4" s="4"/>
      <c r="Y4" s="4"/>
      <c r="Z4" s="4"/>
    </row>
    <row r="5" ht="22.5" customHeight="1">
      <c r="A5" s="8">
        <v>46290.592870810186</v>
      </c>
      <c r="B5" s="9" t="s">
        <v>34</v>
      </c>
      <c r="C5" s="10" t="s">
        <v>53</v>
      </c>
      <c r="D5" s="10" t="s">
        <v>54</v>
      </c>
      <c r="E5" s="10" t="s">
        <v>55</v>
      </c>
      <c r="F5" s="10" t="s">
        <v>56</v>
      </c>
      <c r="G5" s="10" t="s">
        <v>36</v>
      </c>
      <c r="H5" s="10" t="s">
        <v>46</v>
      </c>
      <c r="I5" s="10" t="s">
        <v>46</v>
      </c>
      <c r="J5" s="10" t="s">
        <v>46</v>
      </c>
      <c r="K5" s="10" t="s">
        <v>46</v>
      </c>
      <c r="L5" s="10" t="s">
        <v>46</v>
      </c>
      <c r="M5" s="10" t="s">
        <v>46</v>
      </c>
      <c r="N5" s="10" t="s">
        <v>46</v>
      </c>
      <c r="O5" s="10" t="s">
        <v>46</v>
      </c>
      <c r="P5" s="9">
        <v>5.0</v>
      </c>
      <c r="Q5" s="10" t="s">
        <v>26</v>
      </c>
      <c r="R5" s="10" t="s">
        <v>57</v>
      </c>
      <c r="S5" s="9">
        <v>4.0</v>
      </c>
      <c r="T5" s="10" t="s">
        <v>52</v>
      </c>
      <c r="U5" s="4"/>
      <c r="V5" s="4"/>
      <c r="W5" s="4"/>
      <c r="X5" s="4"/>
      <c r="Y5" s="4"/>
      <c r="Z5" s="4"/>
    </row>
    <row r="6" ht="22.5" customHeight="1">
      <c r="A6" s="8">
        <v>46290.612142708334</v>
      </c>
      <c r="B6" s="9" t="s">
        <v>39</v>
      </c>
      <c r="C6" s="10" t="s">
        <v>58</v>
      </c>
      <c r="D6" s="10" t="s">
        <v>59</v>
      </c>
      <c r="E6" s="10" t="s">
        <v>55</v>
      </c>
      <c r="F6" s="10" t="s">
        <v>56</v>
      </c>
      <c r="G6" s="10" t="s">
        <v>28</v>
      </c>
      <c r="H6" s="10" t="s">
        <v>46</v>
      </c>
      <c r="I6" s="10" t="s">
        <v>60</v>
      </c>
      <c r="J6" s="10" t="s">
        <v>60</v>
      </c>
      <c r="K6" s="10" t="s">
        <v>46</v>
      </c>
      <c r="L6" s="10" t="s">
        <v>46</v>
      </c>
      <c r="M6" s="10" t="s">
        <v>60</v>
      </c>
      <c r="N6" s="10" t="s">
        <v>61</v>
      </c>
      <c r="O6" s="10" t="s">
        <v>60</v>
      </c>
      <c r="P6" s="9">
        <v>3.0</v>
      </c>
      <c r="Q6" s="10" t="s">
        <v>25</v>
      </c>
      <c r="R6" s="11"/>
      <c r="S6" s="9">
        <v>1.0</v>
      </c>
      <c r="T6" s="10" t="s">
        <v>62</v>
      </c>
      <c r="U6" s="4"/>
      <c r="V6" s="4"/>
      <c r="W6" s="4"/>
      <c r="X6" s="4"/>
      <c r="Y6" s="4"/>
      <c r="Z6" s="4"/>
    </row>
    <row r="7" ht="22.5" customHeight="1">
      <c r="A7" s="8">
        <v>46290.61498489583</v>
      </c>
      <c r="B7" s="9" t="s">
        <v>34</v>
      </c>
      <c r="C7" s="10" t="s">
        <v>53</v>
      </c>
      <c r="D7" s="10" t="s">
        <v>63</v>
      </c>
      <c r="E7" s="10" t="s">
        <v>64</v>
      </c>
      <c r="F7" s="10" t="s">
        <v>65</v>
      </c>
      <c r="G7" s="10" t="s">
        <v>36</v>
      </c>
      <c r="H7" s="10" t="s">
        <v>46</v>
      </c>
      <c r="I7" s="10" t="s">
        <v>60</v>
      </c>
      <c r="J7" s="10" t="s">
        <v>60</v>
      </c>
      <c r="K7" s="10" t="s">
        <v>46</v>
      </c>
      <c r="L7" s="10" t="s">
        <v>46</v>
      </c>
      <c r="M7" s="10" t="s">
        <v>46</v>
      </c>
      <c r="N7" s="10" t="s">
        <v>60</v>
      </c>
      <c r="O7" s="10" t="s">
        <v>60</v>
      </c>
      <c r="P7" s="9">
        <v>3.0</v>
      </c>
      <c r="Q7" s="10" t="s">
        <v>26</v>
      </c>
      <c r="R7" s="10" t="s">
        <v>66</v>
      </c>
      <c r="S7" s="9">
        <v>4.0</v>
      </c>
      <c r="T7" s="10" t="s">
        <v>52</v>
      </c>
      <c r="U7" s="4"/>
      <c r="V7" s="4"/>
      <c r="W7" s="4"/>
      <c r="X7" s="4"/>
      <c r="Y7" s="4"/>
      <c r="Z7" s="4"/>
    </row>
    <row r="8" ht="22.5" customHeight="1">
      <c r="A8" s="8">
        <v>46290.61993421296</v>
      </c>
      <c r="B8" s="9" t="s">
        <v>39</v>
      </c>
      <c r="C8" s="10" t="s">
        <v>48</v>
      </c>
      <c r="D8" s="10" t="s">
        <v>67</v>
      </c>
      <c r="E8" s="10" t="s">
        <v>55</v>
      </c>
      <c r="F8" s="10" t="s">
        <v>45</v>
      </c>
      <c r="G8" s="10" t="s">
        <v>36</v>
      </c>
      <c r="H8" s="10" t="s">
        <v>46</v>
      </c>
      <c r="I8" s="10" t="s">
        <v>46</v>
      </c>
      <c r="J8" s="10" t="s">
        <v>46</v>
      </c>
      <c r="K8" s="10" t="s">
        <v>46</v>
      </c>
      <c r="L8" s="10" t="s">
        <v>46</v>
      </c>
      <c r="M8" s="10" t="s">
        <v>46</v>
      </c>
      <c r="N8" s="10" t="s">
        <v>46</v>
      </c>
      <c r="O8" s="10" t="s">
        <v>46</v>
      </c>
      <c r="P8" s="9">
        <v>5.0</v>
      </c>
      <c r="Q8" s="10" t="s">
        <v>26</v>
      </c>
      <c r="R8" s="10" t="s">
        <v>68</v>
      </c>
      <c r="S8" s="9">
        <v>1.0</v>
      </c>
      <c r="T8" s="10" t="s">
        <v>52</v>
      </c>
    </row>
    <row r="9" ht="22.5" customHeight="1">
      <c r="A9" s="8">
        <v>46290.74607459491</v>
      </c>
      <c r="B9" s="9" t="s">
        <v>34</v>
      </c>
      <c r="C9" s="10" t="s">
        <v>53</v>
      </c>
      <c r="D9" s="10" t="s">
        <v>69</v>
      </c>
      <c r="E9" s="10" t="s">
        <v>64</v>
      </c>
      <c r="F9" s="10" t="s">
        <v>45</v>
      </c>
      <c r="G9" s="10" t="s">
        <v>36</v>
      </c>
      <c r="H9" s="10" t="s">
        <v>46</v>
      </c>
      <c r="I9" s="10" t="s">
        <v>46</v>
      </c>
      <c r="J9" s="10" t="s">
        <v>46</v>
      </c>
      <c r="K9" s="10" t="s">
        <v>46</v>
      </c>
      <c r="L9" s="10" t="s">
        <v>46</v>
      </c>
      <c r="M9" s="10" t="s">
        <v>46</v>
      </c>
      <c r="N9" s="10" t="s">
        <v>46</v>
      </c>
      <c r="O9" s="10" t="s">
        <v>46</v>
      </c>
      <c r="P9" s="9">
        <v>4.0</v>
      </c>
      <c r="Q9" s="10" t="s">
        <v>26</v>
      </c>
      <c r="R9" s="10" t="s">
        <v>68</v>
      </c>
      <c r="S9" s="9">
        <v>3.0</v>
      </c>
      <c r="T9" s="10" t="s">
        <v>52</v>
      </c>
    </row>
    <row r="10" ht="22.5" customHeight="1">
      <c r="A10" s="8">
        <v>46290.74827049769</v>
      </c>
      <c r="B10" s="9" t="s">
        <v>39</v>
      </c>
      <c r="C10" s="10" t="s">
        <v>53</v>
      </c>
      <c r="D10" s="10" t="s">
        <v>70</v>
      </c>
      <c r="E10" s="10" t="s">
        <v>50</v>
      </c>
      <c r="F10" s="10" t="s">
        <v>51</v>
      </c>
      <c r="G10" s="10" t="s">
        <v>36</v>
      </c>
      <c r="H10" s="10" t="s">
        <v>46</v>
      </c>
      <c r="I10" s="10" t="s">
        <v>46</v>
      </c>
      <c r="J10" s="10" t="s">
        <v>46</v>
      </c>
      <c r="K10" s="10" t="s">
        <v>46</v>
      </c>
      <c r="L10" s="10" t="s">
        <v>46</v>
      </c>
      <c r="M10" s="10" t="s">
        <v>46</v>
      </c>
      <c r="N10" s="10" t="s">
        <v>46</v>
      </c>
      <c r="O10" s="10" t="s">
        <v>46</v>
      </c>
      <c r="P10" s="9">
        <v>4.0</v>
      </c>
      <c r="Q10" s="10" t="s">
        <v>26</v>
      </c>
      <c r="R10" s="10" t="s">
        <v>38</v>
      </c>
      <c r="S10" s="9">
        <v>4.0</v>
      </c>
      <c r="T10" s="10" t="s">
        <v>52</v>
      </c>
    </row>
    <row r="11" ht="22.5" customHeight="1">
      <c r="A11" s="8">
        <v>46290.75008517361</v>
      </c>
      <c r="B11" s="9" t="s">
        <v>23</v>
      </c>
      <c r="C11" s="10" t="s">
        <v>24</v>
      </c>
      <c r="D11" s="10" t="s">
        <v>29</v>
      </c>
      <c r="E11" s="10" t="s">
        <v>31</v>
      </c>
      <c r="F11" s="10" t="s">
        <v>71</v>
      </c>
      <c r="G11" s="10" t="s">
        <v>32</v>
      </c>
      <c r="H11" s="10" t="s">
        <v>46</v>
      </c>
      <c r="I11" s="10" t="s">
        <v>46</v>
      </c>
      <c r="J11" s="10" t="s">
        <v>46</v>
      </c>
      <c r="K11" s="10" t="s">
        <v>46</v>
      </c>
      <c r="L11" s="10" t="s">
        <v>46</v>
      </c>
      <c r="M11" s="10" t="s">
        <v>46</v>
      </c>
      <c r="N11" s="10" t="s">
        <v>46</v>
      </c>
      <c r="O11" s="10" t="s">
        <v>46</v>
      </c>
      <c r="P11" s="9">
        <v>5.0</v>
      </c>
      <c r="Q11" s="10" t="s">
        <v>26</v>
      </c>
      <c r="R11" s="10" t="s">
        <v>57</v>
      </c>
      <c r="S11" s="9">
        <v>4.0</v>
      </c>
      <c r="T11" s="10" t="s">
        <v>62</v>
      </c>
    </row>
    <row r="12" ht="22.5" customHeight="1">
      <c r="A12" s="8">
        <v>46290.751386504635</v>
      </c>
      <c r="B12" s="9" t="s">
        <v>23</v>
      </c>
      <c r="C12" s="10" t="s">
        <v>24</v>
      </c>
      <c r="D12" s="10" t="s">
        <v>29</v>
      </c>
      <c r="E12" s="10" t="s">
        <v>50</v>
      </c>
      <c r="F12" s="10" t="s">
        <v>32</v>
      </c>
      <c r="G12" s="10" t="s">
        <v>32</v>
      </c>
      <c r="H12" s="10" t="s">
        <v>46</v>
      </c>
      <c r="I12" s="10" t="s">
        <v>46</v>
      </c>
      <c r="J12" s="10" t="s">
        <v>46</v>
      </c>
      <c r="K12" s="10" t="s">
        <v>46</v>
      </c>
      <c r="L12" s="10" t="s">
        <v>46</v>
      </c>
      <c r="M12" s="10" t="s">
        <v>46</v>
      </c>
      <c r="N12" s="10" t="s">
        <v>60</v>
      </c>
      <c r="O12" s="10" t="s">
        <v>46</v>
      </c>
      <c r="P12" s="9">
        <v>5.0</v>
      </c>
      <c r="Q12" s="10" t="s">
        <v>26</v>
      </c>
      <c r="R12" s="10" t="s">
        <v>72</v>
      </c>
      <c r="S12" s="9">
        <v>4.0</v>
      </c>
      <c r="T12" s="10" t="s">
        <v>52</v>
      </c>
    </row>
    <row r="13" ht="22.5" customHeight="1">
      <c r="A13" s="8">
        <v>46290.7529110301</v>
      </c>
      <c r="B13" s="9" t="s">
        <v>23</v>
      </c>
      <c r="C13" s="10" t="s">
        <v>48</v>
      </c>
      <c r="D13" s="10" t="s">
        <v>29</v>
      </c>
      <c r="E13" s="10" t="s">
        <v>50</v>
      </c>
      <c r="F13" s="10" t="s">
        <v>73</v>
      </c>
      <c r="G13" s="10" t="s">
        <v>32</v>
      </c>
      <c r="H13" s="10" t="s">
        <v>46</v>
      </c>
      <c r="I13" s="10" t="s">
        <v>46</v>
      </c>
      <c r="J13" s="10" t="s">
        <v>46</v>
      </c>
      <c r="K13" s="10" t="s">
        <v>46</v>
      </c>
      <c r="L13" s="10" t="s">
        <v>46</v>
      </c>
      <c r="M13" s="10" t="s">
        <v>46</v>
      </c>
      <c r="N13" s="10" t="s">
        <v>46</v>
      </c>
      <c r="O13" s="10" t="s">
        <v>46</v>
      </c>
      <c r="P13" s="9">
        <v>4.0</v>
      </c>
      <c r="Q13" s="10" t="s">
        <v>26</v>
      </c>
      <c r="R13" s="10" t="s">
        <v>68</v>
      </c>
      <c r="S13" s="9">
        <v>3.0</v>
      </c>
      <c r="T13" s="10" t="s">
        <v>41</v>
      </c>
    </row>
    <row r="14" ht="22.5" customHeight="1">
      <c r="A14" s="8">
        <v>46290.75527327546</v>
      </c>
      <c r="B14" s="9" t="s">
        <v>39</v>
      </c>
      <c r="C14" s="10" t="s">
        <v>53</v>
      </c>
      <c r="D14" s="10" t="s">
        <v>49</v>
      </c>
      <c r="E14" s="10" t="s">
        <v>50</v>
      </c>
      <c r="F14" s="10" t="s">
        <v>51</v>
      </c>
      <c r="G14" s="10" t="s">
        <v>36</v>
      </c>
      <c r="H14" s="10" t="s">
        <v>46</v>
      </c>
      <c r="I14" s="10" t="s">
        <v>46</v>
      </c>
      <c r="J14" s="10" t="s">
        <v>46</v>
      </c>
      <c r="K14" s="10" t="s">
        <v>46</v>
      </c>
      <c r="L14" s="10" t="s">
        <v>46</v>
      </c>
      <c r="M14" s="10" t="s">
        <v>46</v>
      </c>
      <c r="N14" s="10" t="s">
        <v>46</v>
      </c>
      <c r="O14" s="10" t="s">
        <v>46</v>
      </c>
      <c r="P14" s="9">
        <v>4.0</v>
      </c>
      <c r="Q14" s="10" t="s">
        <v>26</v>
      </c>
      <c r="R14" s="10" t="s">
        <v>68</v>
      </c>
      <c r="S14" s="9">
        <v>3.0</v>
      </c>
      <c r="T14" s="10" t="s">
        <v>52</v>
      </c>
    </row>
    <row r="15" ht="22.5" customHeight="1">
      <c r="A15" s="8">
        <v>46290.7597234375</v>
      </c>
      <c r="B15" s="9" t="s">
        <v>39</v>
      </c>
      <c r="C15" s="10" t="s">
        <v>53</v>
      </c>
      <c r="D15" s="10" t="s">
        <v>74</v>
      </c>
      <c r="E15" s="10" t="s">
        <v>55</v>
      </c>
      <c r="F15" s="10" t="s">
        <v>51</v>
      </c>
      <c r="G15" s="10" t="s">
        <v>36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9">
        <v>3.0</v>
      </c>
      <c r="Q15" s="10" t="s">
        <v>26</v>
      </c>
      <c r="R15" s="10" t="s">
        <v>75</v>
      </c>
      <c r="S15" s="9">
        <v>3.0</v>
      </c>
      <c r="T15" s="10" t="s">
        <v>41</v>
      </c>
    </row>
    <row r="16" ht="22.5" customHeight="1">
      <c r="A16" s="8">
        <v>46290.76360230324</v>
      </c>
      <c r="B16" s="9" t="s">
        <v>34</v>
      </c>
      <c r="C16" s="10" t="s">
        <v>53</v>
      </c>
      <c r="D16" s="10" t="s">
        <v>76</v>
      </c>
      <c r="E16" s="10" t="s">
        <v>55</v>
      </c>
      <c r="F16" s="10" t="s">
        <v>56</v>
      </c>
      <c r="G16" s="10" t="s">
        <v>36</v>
      </c>
      <c r="H16" s="10" t="s">
        <v>46</v>
      </c>
      <c r="I16" s="10" t="s">
        <v>46</v>
      </c>
      <c r="J16" s="10" t="s">
        <v>46</v>
      </c>
      <c r="K16" s="10" t="s">
        <v>46</v>
      </c>
      <c r="L16" s="10" t="s">
        <v>46</v>
      </c>
      <c r="M16" s="10" t="s">
        <v>46</v>
      </c>
      <c r="N16" s="10" t="s">
        <v>46</v>
      </c>
      <c r="O16" s="10" t="s">
        <v>46</v>
      </c>
      <c r="P16" s="9">
        <v>2.0</v>
      </c>
      <c r="Q16" s="10" t="s">
        <v>26</v>
      </c>
      <c r="R16" s="10" t="s">
        <v>68</v>
      </c>
      <c r="S16" s="9">
        <v>2.0</v>
      </c>
      <c r="T16" s="10" t="s">
        <v>52</v>
      </c>
    </row>
    <row r="17" ht="22.5" customHeight="1">
      <c r="A17" s="8">
        <v>46290.824144768514</v>
      </c>
      <c r="B17" s="9" t="s">
        <v>39</v>
      </c>
      <c r="C17" s="10" t="s">
        <v>58</v>
      </c>
      <c r="D17" s="10" t="s">
        <v>29</v>
      </c>
      <c r="E17" s="10" t="s">
        <v>50</v>
      </c>
      <c r="F17" s="10" t="s">
        <v>36</v>
      </c>
      <c r="G17" s="10" t="s">
        <v>36</v>
      </c>
      <c r="H17" s="10" t="s">
        <v>46</v>
      </c>
      <c r="I17" s="10" t="s">
        <v>46</v>
      </c>
      <c r="J17" s="10" t="s">
        <v>46</v>
      </c>
      <c r="K17" s="10" t="s">
        <v>46</v>
      </c>
      <c r="L17" s="10" t="s">
        <v>46</v>
      </c>
      <c r="M17" s="10" t="s">
        <v>46</v>
      </c>
      <c r="N17" s="10" t="s">
        <v>46</v>
      </c>
      <c r="O17" s="10" t="s">
        <v>46</v>
      </c>
      <c r="P17" s="9">
        <v>4.0</v>
      </c>
      <c r="Q17" s="10" t="s">
        <v>26</v>
      </c>
      <c r="R17" s="10" t="s">
        <v>77</v>
      </c>
      <c r="S17" s="9">
        <v>5.0</v>
      </c>
      <c r="T17" s="10" t="s">
        <v>62</v>
      </c>
    </row>
    <row r="18" ht="22.5" customHeight="1">
      <c r="A18" s="8">
        <v>46290.8307790625</v>
      </c>
      <c r="B18" s="9" t="s">
        <v>39</v>
      </c>
      <c r="C18" s="10" t="s">
        <v>48</v>
      </c>
      <c r="D18" s="10" t="s">
        <v>78</v>
      </c>
      <c r="E18" s="10" t="s">
        <v>50</v>
      </c>
      <c r="F18" s="10" t="s">
        <v>79</v>
      </c>
      <c r="G18" s="10" t="s">
        <v>36</v>
      </c>
      <c r="H18" s="10" t="s">
        <v>61</v>
      </c>
      <c r="I18" s="10" t="s">
        <v>61</v>
      </c>
      <c r="J18" s="10" t="s">
        <v>61</v>
      </c>
      <c r="K18" s="10" t="s">
        <v>61</v>
      </c>
      <c r="L18" s="10" t="s">
        <v>61</v>
      </c>
      <c r="M18" s="10" t="s">
        <v>61</v>
      </c>
      <c r="N18" s="10" t="s">
        <v>61</v>
      </c>
      <c r="O18" s="10" t="s">
        <v>61</v>
      </c>
      <c r="P18" s="9">
        <v>2.0</v>
      </c>
      <c r="Q18" s="10" t="s">
        <v>26</v>
      </c>
      <c r="R18" s="10" t="s">
        <v>57</v>
      </c>
      <c r="S18" s="9">
        <v>4.0</v>
      </c>
      <c r="T18" s="10" t="s">
        <v>52</v>
      </c>
    </row>
    <row r="19" ht="22.5" customHeight="1">
      <c r="A19" s="8">
        <v>46290.83257782407</v>
      </c>
      <c r="B19" s="9" t="s">
        <v>23</v>
      </c>
      <c r="C19" s="10" t="s">
        <v>48</v>
      </c>
      <c r="D19" s="10" t="s">
        <v>81</v>
      </c>
      <c r="E19" s="10" t="s">
        <v>31</v>
      </c>
      <c r="F19" s="10" t="s">
        <v>51</v>
      </c>
      <c r="G19" s="10" t="s">
        <v>36</v>
      </c>
      <c r="H19" s="10" t="s">
        <v>60</v>
      </c>
      <c r="I19" s="10" t="s">
        <v>60</v>
      </c>
      <c r="J19" s="10" t="s">
        <v>60</v>
      </c>
      <c r="K19" s="10" t="s">
        <v>60</v>
      </c>
      <c r="L19" s="10" t="s">
        <v>60</v>
      </c>
      <c r="M19" s="10" t="s">
        <v>60</v>
      </c>
      <c r="N19" s="10" t="s">
        <v>60</v>
      </c>
      <c r="O19" s="10" t="s">
        <v>60</v>
      </c>
      <c r="P19" s="9">
        <v>5.0</v>
      </c>
      <c r="Q19" s="10" t="s">
        <v>26</v>
      </c>
      <c r="R19" s="10" t="s">
        <v>38</v>
      </c>
      <c r="S19" s="9">
        <v>5.0</v>
      </c>
      <c r="T19" s="10" t="s">
        <v>62</v>
      </c>
    </row>
    <row r="20" ht="22.5" customHeight="1">
      <c r="A20" s="8">
        <v>46290.86475792824</v>
      </c>
      <c r="B20" s="9" t="s">
        <v>23</v>
      </c>
      <c r="C20" s="10" t="s">
        <v>24</v>
      </c>
      <c r="D20" s="10" t="s">
        <v>29</v>
      </c>
      <c r="E20" s="10" t="s">
        <v>31</v>
      </c>
      <c r="F20" s="10" t="s">
        <v>32</v>
      </c>
      <c r="G20" s="10" t="s">
        <v>32</v>
      </c>
      <c r="H20" s="10" t="s">
        <v>46</v>
      </c>
      <c r="I20" s="10" t="s">
        <v>46</v>
      </c>
      <c r="J20" s="10" t="s">
        <v>46</v>
      </c>
      <c r="K20" s="10" t="s">
        <v>46</v>
      </c>
      <c r="L20" s="10" t="s">
        <v>46</v>
      </c>
      <c r="M20" s="10" t="s">
        <v>46</v>
      </c>
      <c r="N20" s="10" t="s">
        <v>46</v>
      </c>
      <c r="O20" s="10" t="s">
        <v>46</v>
      </c>
      <c r="P20" s="9">
        <v>5.0</v>
      </c>
      <c r="Q20" s="10" t="s">
        <v>26</v>
      </c>
      <c r="R20" s="10" t="s">
        <v>38</v>
      </c>
      <c r="S20" s="9">
        <v>5.0</v>
      </c>
      <c r="T20" s="10" t="s">
        <v>62</v>
      </c>
    </row>
    <row r="21" ht="22.5" customHeight="1">
      <c r="A21" s="8">
        <v>46290.90938116898</v>
      </c>
      <c r="B21" s="9" t="s">
        <v>39</v>
      </c>
      <c r="C21" s="10" t="s">
        <v>53</v>
      </c>
      <c r="D21" s="10" t="s">
        <v>74</v>
      </c>
      <c r="E21" s="10" t="s">
        <v>55</v>
      </c>
      <c r="F21" s="10" t="s">
        <v>51</v>
      </c>
      <c r="G21" s="10" t="s">
        <v>36</v>
      </c>
      <c r="H21" s="10" t="s">
        <v>46</v>
      </c>
      <c r="I21" s="10" t="s">
        <v>46</v>
      </c>
      <c r="J21" s="10" t="s">
        <v>46</v>
      </c>
      <c r="K21" s="10" t="s">
        <v>46</v>
      </c>
      <c r="L21" s="10" t="s">
        <v>46</v>
      </c>
      <c r="M21" s="10" t="s">
        <v>46</v>
      </c>
      <c r="N21" s="10" t="s">
        <v>46</v>
      </c>
      <c r="O21" s="10" t="s">
        <v>46</v>
      </c>
      <c r="P21" s="9">
        <v>4.0</v>
      </c>
      <c r="Q21" s="10" t="s">
        <v>26</v>
      </c>
      <c r="R21" s="10" t="s">
        <v>38</v>
      </c>
      <c r="S21" s="9">
        <v>4.0</v>
      </c>
      <c r="T21" s="10" t="s">
        <v>52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3" t="s">
        <v>18</v>
      </c>
      <c r="J1" s="3" t="s">
        <v>20</v>
      </c>
      <c r="M1" s="1" t="str">
        <f>IFERROR(__xludf.DUMMYFUNCTION("QUERY(ARRAYFORMULA(TRIM(FLATTEN(SPLIT(TEXTJOIN("","", TRUE, 'Form Responses 1'!D$2:D$21), "","")))), ""select Col1, count(Col1) where Col1 is not null group by Col1 order by count(Col1) desc label Col1 'Language', count(Col1) 'Count'"")"),"Language")</f>
        <v>Language</v>
      </c>
      <c r="N1" s="1" t="str">
        <f>IFERROR(__xludf.DUMMYFUNCTION("""COMPUTED_VALUE"""),"Count")</f>
        <v>Count</v>
      </c>
    </row>
    <row r="2">
      <c r="I2" s="3" t="s">
        <v>30</v>
      </c>
      <c r="J2" s="1">
        <f>IFERROR(__xludf.DUMMYFUNCTION("AVERAGE(ARRAYFORMULA(VALUE(REGEXEXTRACT('Form Responses 1'!H$2:H$21, ""\d+""))))"),4.65)</f>
        <v>4.65</v>
      </c>
      <c r="M2" s="1" t="str">
        <f>IFERROR(__xludf.DUMMYFUNCTION("""COMPUTED_VALUE"""),"Python")</f>
        <v>Python</v>
      </c>
      <c r="N2" s="1">
        <f>IFERROR(__xludf.DUMMYFUNCTION("""COMPUTED_VALUE"""),19.0)</f>
        <v>19</v>
      </c>
    </row>
    <row r="3">
      <c r="I3" s="3" t="s">
        <v>35</v>
      </c>
      <c r="J3" s="1">
        <f>IFERROR(__xludf.DUMMYFUNCTION("AVERAGE(ARRAYFORMULA(VALUE(REGEXEXTRACT('Form Responses 1'!I$2:I$21, ""\d+""))))"),4.55)</f>
        <v>4.55</v>
      </c>
      <c r="M3" s="1" t="str">
        <f>IFERROR(__xludf.DUMMYFUNCTION("""COMPUTED_VALUE"""),"C++")</f>
        <v>C++</v>
      </c>
      <c r="N3" s="1">
        <f>IFERROR(__xludf.DUMMYFUNCTION("""COMPUTED_VALUE"""),12.0)</f>
        <v>12</v>
      </c>
    </row>
    <row r="4">
      <c r="I4" s="3" t="s">
        <v>37</v>
      </c>
      <c r="J4" s="1">
        <f>IFERROR(__xludf.DUMMYFUNCTION("AVERAGE(ARRAYFORMULA(VALUE(REGEXEXTRACT('Form Responses 1'!J$2:J$21, ""\d+""))))"),4.55)</f>
        <v>4.55</v>
      </c>
      <c r="M4" s="1" t="str">
        <f>IFERROR(__xludf.DUMMYFUNCTION("""COMPUTED_VALUE"""),"JavaScript")</f>
        <v>JavaScript</v>
      </c>
      <c r="N4" s="1">
        <f>IFERROR(__xludf.DUMMYFUNCTION("""COMPUTED_VALUE"""),12.0)</f>
        <v>12</v>
      </c>
    </row>
    <row r="5">
      <c r="I5" s="3" t="s">
        <v>40</v>
      </c>
      <c r="J5" s="1">
        <f>IFERROR(__xludf.DUMMYFUNCTION("AVERAGE(ARRAYFORMULA(VALUE(REGEXEXTRACT('Form Responses 1'!K$2:K$21, ""\d+""))))"),4.65)</f>
        <v>4.65</v>
      </c>
      <c r="M5" s="1" t="str">
        <f>IFERROR(__xludf.DUMMYFUNCTION("""COMPUTED_VALUE"""),"Java")</f>
        <v>Java</v>
      </c>
      <c r="N5" s="1">
        <f>IFERROR(__xludf.DUMMYFUNCTION("""COMPUTED_VALUE"""),11.0)</f>
        <v>11</v>
      </c>
    </row>
    <row r="6">
      <c r="I6" s="3" t="s">
        <v>42</v>
      </c>
      <c r="J6" s="1">
        <f>IFERROR(__xludf.DUMMYFUNCTION("AVERAGE(ARRAYFORMULA(VALUE(REGEXEXTRACT('Form Responses 1'!L$2:L$21, ""\d+""))))"),4.65)</f>
        <v>4.65</v>
      </c>
      <c r="M6" s="1" t="str">
        <f>IFERROR(__xludf.DUMMYFUNCTION("""COMPUTED_VALUE"""),"CSS")</f>
        <v>CSS</v>
      </c>
      <c r="N6" s="1">
        <f>IFERROR(__xludf.DUMMYFUNCTION("""COMPUTED_VALUE"""),6.0)</f>
        <v>6</v>
      </c>
    </row>
    <row r="7">
      <c r="I7" s="3" t="s">
        <v>43</v>
      </c>
      <c r="J7" s="1">
        <f>IFERROR(__xludf.DUMMYFUNCTION("AVERAGE(ARRAYFORMULA(VALUE(REGEXEXTRACT('Form Responses 1'!M$2:M$21, ""\d+""))))"),4.6)</f>
        <v>4.6</v>
      </c>
      <c r="M7" s="1" t="str">
        <f>IFERROR(__xludf.DUMMYFUNCTION("""COMPUTED_VALUE"""),"TypeScript")</f>
        <v>TypeScript</v>
      </c>
      <c r="N7" s="1">
        <f>IFERROR(__xludf.DUMMYFUNCTION("""COMPUTED_VALUE"""),6.0)</f>
        <v>6</v>
      </c>
    </row>
    <row r="8">
      <c r="I8" s="3" t="s">
        <v>44</v>
      </c>
      <c r="J8" s="1">
        <f>IFERROR(__xludf.DUMMYFUNCTION("AVERAGE(ARRAYFORMULA(VALUE(REGEXEXTRACT('Form Responses 1'!N$2:N$21, ""\d+""))))"),4.45)</f>
        <v>4.45</v>
      </c>
      <c r="M8" s="1" t="str">
        <f>IFERROR(__xludf.DUMMYFUNCTION("""COMPUTED_VALUE"""),"C")</f>
        <v>C</v>
      </c>
      <c r="N8" s="1">
        <f>IFERROR(__xludf.DUMMYFUNCTION("""COMPUTED_VALUE"""),5.0)</f>
        <v>5</v>
      </c>
    </row>
    <row r="9">
      <c r="I9" s="3" t="s">
        <v>47</v>
      </c>
      <c r="J9" s="1">
        <f>IFERROR(__xludf.DUMMYFUNCTION("AVERAGE(ARRAYFORMULA(VALUE(REGEXEXTRACT('Form Responses 1'!O$2:O$21, ""\d+""))))"),4.55)</f>
        <v>4.55</v>
      </c>
      <c r="M9" s="1" t="str">
        <f>IFERROR(__xludf.DUMMYFUNCTION("""COMPUTED_VALUE"""),"C#")</f>
        <v>C#</v>
      </c>
      <c r="N9" s="1">
        <f>IFERROR(__xludf.DUMMYFUNCTION("""COMPUTED_VALUE"""),3.0)</f>
        <v>3</v>
      </c>
    </row>
    <row r="10">
      <c r="M10" s="1" t="str">
        <f>IFERROR(__xludf.DUMMYFUNCTION("""COMPUTED_VALUE"""),"Rust")</f>
        <v>Rust</v>
      </c>
      <c r="N10" s="1">
        <f>IFERROR(__xludf.DUMMYFUNCTION("""COMPUTED_VALUE"""),3.0)</f>
        <v>3</v>
      </c>
    </row>
    <row r="11">
      <c r="M11" s="1" t="str">
        <f>IFERROR(__xludf.DUMMYFUNCTION("""COMPUTED_VALUE"""),"HTML/CSS")</f>
        <v>HTML/CSS</v>
      </c>
      <c r="N11" s="1">
        <f>IFERROR(__xludf.DUMMYFUNCTION("""COMPUTED_VALUE"""),1.0)</f>
        <v>1</v>
      </c>
    </row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5.0"/>
    <col customWidth="1" min="3" max="3" width="12.0"/>
    <col customWidth="1" min="5" max="5" width="47.38"/>
    <col customWidth="1" min="6" max="6" width="57.0"/>
    <col customWidth="1" min="7" max="7" width="4.0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3" t="s">
        <v>80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14" t="s">
        <v>82</v>
      </c>
      <c r="C4" s="15"/>
      <c r="D4" s="15"/>
      <c r="E4" s="14" t="s">
        <v>83</v>
      </c>
      <c r="F4" s="15"/>
      <c r="G4" s="15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16" t="str">
        <f>IFERROR(__xludf.DUMMYFUNCTION("QUERY(Calc_Data!E1:F1000, ""select * where E != 'Grand Total' and E is not null order by F desc"")"),"Which IDE/editor do you use most often?  ")</f>
        <v>Which IDE/editor do you use most often?  </v>
      </c>
      <c r="C5" s="16" t="str">
        <f>IFERROR(__xludf.DUMMYFUNCTION("""COMPUTED_VALUE"""),"Count")</f>
        <v>Count</v>
      </c>
      <c r="D5" s="17"/>
      <c r="E5" s="16" t="str">
        <f>IFERROR(__xludf.DUMMYFUNCTION("QUERY(Calc_Data!A1:C1000, ""select * where A != 'Grand Total' and A is not null"")"),"Count How would you describe your programming experience?  ")</f>
        <v>Count How would you describe your programming experience?  </v>
      </c>
      <c r="F5" s="16" t="str">
        <f>IFERROR(__xludf.DUMMYFUNCTION("""COMPUTED_VALUE"""),"Do you use AI tools (e.g., Copilot, ChatGPT, Claude) when programming?   No")</f>
        <v>Do you use AI tools (e.g., Copilot, ChatGPT, Claude) when programming?   No</v>
      </c>
      <c r="G5" s="16" t="str">
        <f>IFERROR(__xludf.DUMMYFUNCTION("""COMPUTED_VALUE""")," Yes")</f>
        <v> Yes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8" t="str">
        <f>IFERROR(__xludf.DUMMYFUNCTION("""COMPUTED_VALUE"""),"VS Code")</f>
        <v>VS Code</v>
      </c>
      <c r="C6" s="18">
        <f>IFERROR(__xludf.DUMMYFUNCTION("""COMPUTED_VALUE"""),14.0)</f>
        <v>14</v>
      </c>
      <c r="D6" s="12"/>
      <c r="E6" s="18" t="str">
        <f>IFERROR(__xludf.DUMMYFUNCTION("""COMPUTED_VALUE"""),"Advanced")</f>
        <v>Advanced</v>
      </c>
      <c r="F6" s="18"/>
      <c r="G6" s="18">
        <f>IFERROR(__xludf.DUMMYFUNCTION("""COMPUTED_VALUE"""),4.0)</f>
        <v>4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8" t="str">
        <f>IFERROR(__xludf.DUMMYFUNCTION("""COMPUTED_VALUE"""),"Online IDE (e.g., Replit, CodePen, Google Colab)")</f>
        <v>Online IDE (e.g., Replit, CodePen, Google Colab)</v>
      </c>
      <c r="C7" s="18">
        <f>IFERROR(__xludf.DUMMYFUNCTION("""COMPUTED_VALUE"""),5.0)</f>
        <v>5</v>
      </c>
      <c r="D7" s="12"/>
      <c r="E7" s="18" t="str">
        <f>IFERROR(__xludf.DUMMYFUNCTION("""COMPUTED_VALUE"""),"Beginner")</f>
        <v>Beginner</v>
      </c>
      <c r="F7" s="18"/>
      <c r="G7" s="18">
        <f>IFERROR(__xludf.DUMMYFUNCTION("""COMPUTED_VALUE"""),8.0)</f>
        <v>8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8" t="str">
        <f>IFERROR(__xludf.DUMMYFUNCTION("""COMPUTED_VALUE"""),"IntelliJ IDEA")</f>
        <v>IntelliJ IDEA</v>
      </c>
      <c r="C8" s="18">
        <f>IFERROR(__xludf.DUMMYFUNCTION("""COMPUTED_VALUE"""),1.0)</f>
        <v>1</v>
      </c>
      <c r="D8" s="12"/>
      <c r="E8" s="18" t="str">
        <f>IFERROR(__xludf.DUMMYFUNCTION("""COMPUTED_VALUE"""),"Intermediate")</f>
        <v>Intermediate</v>
      </c>
      <c r="F8" s="18">
        <f>IFERROR(__xludf.DUMMYFUNCTION("""COMPUTED_VALUE"""),1.0)</f>
        <v>1</v>
      </c>
      <c r="G8" s="18">
        <f>IFERROR(__xludf.DUMMYFUNCTION("""COMPUTED_VALUE"""),7.0)</f>
        <v>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8"/>
      <c r="C9" s="1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8"/>
      <c r="C10" s="1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4" t="s">
        <v>84</v>
      </c>
      <c r="C19" s="15"/>
      <c r="D19" s="15"/>
      <c r="E19" s="14" t="s">
        <v>85</v>
      </c>
      <c r="F19" s="15"/>
      <c r="G19" s="15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6" t="str">
        <f>IFERROR(__xludf.DUMMYFUNCTION("QUERY(Calc_Data!I1:J1000, ""select * where I is not null order by J desc"")"),"Feature")</f>
        <v>Feature</v>
      </c>
      <c r="C20" s="16" t="str">
        <f>IFERROR(__xludf.DUMMYFUNCTION("""COMPUTED_VALUE"""),"Average Rating")</f>
        <v>Average Rating</v>
      </c>
      <c r="D20" s="17"/>
      <c r="E20" s="16" t="str">
        <f>IFERROR(__xludf.DUMMYFUNCTION("QUERY(Calc_Data!M1:N1000, ""select * where M is not null order by N desc"")"),"Language")</f>
        <v>Language</v>
      </c>
      <c r="F20" s="16" t="str">
        <f>IFERROR(__xludf.DUMMYFUNCTION("""COMPUTED_VALUE"""),"Count")</f>
        <v>Count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8" t="str">
        <f>IFERROR(__xludf.DUMMYFUNCTION("""COMPUTED_VALUE"""),"Syntax highlighting")</f>
        <v>Syntax highlighting</v>
      </c>
      <c r="C21" s="18">
        <f>IFERROR(__xludf.DUMMYFUNCTION("""COMPUTED_VALUE"""),4.65)</f>
        <v>4.65</v>
      </c>
      <c r="D21" s="12"/>
      <c r="E21" s="18" t="str">
        <f>IFERROR(__xludf.DUMMYFUNCTION("""COMPUTED_VALUE"""),"Python")</f>
        <v>Python</v>
      </c>
      <c r="F21" s="18">
        <f>IFERROR(__xludf.DUMMYFUNCTION("""COMPUTED_VALUE"""),19.0)</f>
        <v>19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8" t="str">
        <f>IFERROR(__xludf.DUMMYFUNCTION("""COMPUTED_VALUE"""),"Error detection")</f>
        <v>Error detection</v>
      </c>
      <c r="C22" s="18">
        <f>IFERROR(__xludf.DUMMYFUNCTION("""COMPUTED_VALUE"""),4.65)</f>
        <v>4.65</v>
      </c>
      <c r="D22" s="12"/>
      <c r="E22" s="18" t="str">
        <f>IFERROR(__xludf.DUMMYFUNCTION("""COMPUTED_VALUE"""),"C++")</f>
        <v>C++</v>
      </c>
      <c r="F22" s="18">
        <f>IFERROR(__xludf.DUMMYFUNCTION("""COMPUTED_VALUE"""),12.0)</f>
        <v>12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8" t="str">
        <f>IFERROR(__xludf.DUMMYFUNCTION("""COMPUTED_VALUE"""),"Debugging tools")</f>
        <v>Debugging tools</v>
      </c>
      <c r="C23" s="18">
        <f>IFERROR(__xludf.DUMMYFUNCTION("""COMPUTED_VALUE"""),4.65)</f>
        <v>4.65</v>
      </c>
      <c r="D23" s="12"/>
      <c r="E23" s="18" t="str">
        <f>IFERROR(__xludf.DUMMYFUNCTION("""COMPUTED_VALUE"""),"JavaScript")</f>
        <v>JavaScript</v>
      </c>
      <c r="F23" s="18">
        <f>IFERROR(__xludf.DUMMYFUNCTION("""COMPUTED_VALUE"""),12.0)</f>
        <v>12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8" t="str">
        <f>IFERROR(__xludf.DUMMYFUNCTION("""COMPUTED_VALUE"""),"Code execution/testing tools")</f>
        <v>Code execution/testing tools</v>
      </c>
      <c r="C24" s="18">
        <f>IFERROR(__xludf.DUMMYFUNCTION("""COMPUTED_VALUE"""),4.6)</f>
        <v>4.6</v>
      </c>
      <c r="D24" s="12"/>
      <c r="E24" s="18" t="str">
        <f>IFERROR(__xludf.DUMMYFUNCTION("""COMPUTED_VALUE"""),"Java")</f>
        <v>Java</v>
      </c>
      <c r="F24" s="18">
        <f>IFERROR(__xludf.DUMMYFUNCTION("""COMPUTED_VALUE"""),11.0)</f>
        <v>11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8" t="str">
        <f>IFERROR(__xludf.DUMMYFUNCTION("""COMPUTED_VALUE"""),"Auto-completion")</f>
        <v>Auto-completion</v>
      </c>
      <c r="C25" s="18">
        <f>IFERROR(__xludf.DUMMYFUNCTION("""COMPUTED_VALUE"""),4.55)</f>
        <v>4.55</v>
      </c>
      <c r="D25" s="12"/>
      <c r="E25" s="18" t="str">
        <f>IFERROR(__xludf.DUMMYFUNCTION("""COMPUTED_VALUE"""),"CSS")</f>
        <v>CSS</v>
      </c>
      <c r="F25" s="18">
        <f>IFERROR(__xludf.DUMMYFUNCTION("""COMPUTED_VALUE"""),6.0)</f>
        <v>6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8" t="str">
        <f>IFERROR(__xludf.DUMMYFUNCTION("""COMPUTED_VALUE"""),"Automatic formatting/indentation")</f>
        <v>Automatic formatting/indentation</v>
      </c>
      <c r="C26" s="18">
        <f>IFERROR(__xludf.DUMMYFUNCTION("""COMPUTED_VALUE"""),4.55)</f>
        <v>4.55</v>
      </c>
      <c r="D26" s="12"/>
      <c r="E26" s="18" t="str">
        <f>IFERROR(__xludf.DUMMYFUNCTION("""COMPUTED_VALUE"""),"TypeScript")</f>
        <v>TypeScript</v>
      </c>
      <c r="F26" s="18">
        <f>IFERROR(__xludf.DUMMYFUNCTION("""COMPUTED_VALUE"""),6.0)</f>
        <v>6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8" t="str">
        <f>IFERROR(__xludf.DUMMYFUNCTION("""COMPUTED_VALUE"""),"Language support")</f>
        <v>Language support</v>
      </c>
      <c r="C27" s="18">
        <f>IFERROR(__xludf.DUMMYFUNCTION("""COMPUTED_VALUE"""),4.55)</f>
        <v>4.55</v>
      </c>
      <c r="D27" s="12"/>
      <c r="E27" s="18" t="str">
        <f>IFERROR(__xludf.DUMMYFUNCTION("""COMPUTED_VALUE"""),"C")</f>
        <v>C</v>
      </c>
      <c r="F27" s="18">
        <f>IFERROR(__xludf.DUMMYFUNCTION("""COMPUTED_VALUE"""),5.0)</f>
        <v>5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8" t="str">
        <f>IFERROR(__xludf.DUMMYFUNCTION("""COMPUTED_VALUE"""),"Extensions/plugins")</f>
        <v>Extensions/plugins</v>
      </c>
      <c r="C28" s="18">
        <f>IFERROR(__xludf.DUMMYFUNCTION("""COMPUTED_VALUE"""),4.45)</f>
        <v>4.45</v>
      </c>
      <c r="D28" s="12"/>
      <c r="E28" s="18" t="str">
        <f>IFERROR(__xludf.DUMMYFUNCTION("""COMPUTED_VALUE"""),"C#")</f>
        <v>C#</v>
      </c>
      <c r="F28" s="18">
        <f>IFERROR(__xludf.DUMMYFUNCTION("""COMPUTED_VALUE"""),3.0)</f>
        <v>3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8"/>
      <c r="C29" s="18"/>
      <c r="D29" s="12"/>
      <c r="E29" s="18" t="str">
        <f>IFERROR(__xludf.DUMMYFUNCTION("""COMPUTED_VALUE"""),"Rust")</f>
        <v>Rust</v>
      </c>
      <c r="F29" s="18">
        <f>IFERROR(__xludf.DUMMYFUNCTION("""COMPUTED_VALUE"""),3.0)</f>
        <v>3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8" t="str">
        <f>IFERROR(__xludf.DUMMYFUNCTION("""COMPUTED_VALUE"""),"HTML/CSS")</f>
        <v>HTML/CSS</v>
      </c>
      <c r="F30" s="18">
        <f>IFERROR(__xludf.DUMMYFUNCTION("""COMPUTED_VALUE"""),1.0)</f>
        <v>1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  <tableParts count="4">
    <tablePart r:id="rId6"/>
    <tablePart r:id="rId7"/>
    <tablePart r:id="rId8"/>
    <tablePart r:id="rId9"/>
  </tableParts>
</worksheet>
</file>